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dodson\Box\Personal\School\Data_Science_UCSD\Week 2 (VBA)\Challenge\"/>
    </mc:Choice>
  </mc:AlternateContent>
  <xr:revisionPtr revIDLastSave="0" documentId="13_ncr:1_{C655DB4F-8F85-490F-AA39-41DC07DDC4E1}" xr6:coauthVersionLast="47" xr6:coauthVersionMax="47" xr10:uidLastSave="{00000000-0000-0000-0000-000000000000}"/>
  <bookViews>
    <workbookView xWindow="0" yWindow="24" windowWidth="23016" windowHeight="1293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" i="2" l="1"/>
  <c r="K251" i="2"/>
  <c r="K252" i="2"/>
  <c r="J252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L251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<sst xmlns="http://schemas.openxmlformats.org/spreadsheetml/2006/main" count="12084" uniqueCount="527">
  <si>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</si>
  <si>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</si>
  <si>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</si>
  <si>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</si>
  <si>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</si>
  <si>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</si>
  <si>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</si>
  <si>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</si>
  <si>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</si>
  <si>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</si>
  <si>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</si>
  <si>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</si>
  <si>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</si>
  <si>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</si>
  <si>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</si>
  <si>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</si>
  <si>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</si>
  <si>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</si>
  <si>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</si>
  <si>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</si>
  <si>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</si>
  <si>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</si>
  <si>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</si>
  <si>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</si>
  <si>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</si>
  <si>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</si>
  <si>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</si>
  <si>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</si>
  <si>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</si>
  <si>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</si>
  <si>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</si>
  <si>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</si>
  <si>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</si>
  <si>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</si>
  <si>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</si>
  <si>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</si>
  <si>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</si>
  <si>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</si>
  <si>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</si>
  <si>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</si>
  <si>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</si>
  <si>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</si>
  <si>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</si>
  <si>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</si>
  <si>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</si>
  <si>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</si>
  <si>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</si>
  <si>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</si>
  <si>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</si>
  <si>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</si>
  <si>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</si>
  <si>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</si>
  <si>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</si>
  <si>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</si>
  <si>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</si>
  <si>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</si>
  <si>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</si>
  <si>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</si>
  <si>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</si>
  <si>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</si>
  <si>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</si>
  <si>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</si>
  <si>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</si>
  <si>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</si>
  <si>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</si>
  <si>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</si>
  <si>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</si>
  <si>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</si>
  <si>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</si>
  <si>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</si>
  <si>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</si>
  <si>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</si>
  <si>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</si>
  <si>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</si>
  <si>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</si>
  <si>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</si>
  <si>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</si>
  <si>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</si>
  <si>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</si>
  <si>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</si>
  <si>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</si>
  <si>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</si>
  <si>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</si>
  <si>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</si>
  <si>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</si>
  <si>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</si>
  <si>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</si>
  <si>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</si>
  <si>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</si>
  <si>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</si>
  <si>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</si>
  <si>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</si>
  <si>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</si>
  <si>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</si>
  <si>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</si>
  <si>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</si>
  <si>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</si>
  <si>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</si>
  <si>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</si>
  <si>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</si>
  <si>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</si>
  <si>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</si>
  <si>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</si>
  <si>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</si>
  <si>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</si>
  <si>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</si>
  <si>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</si>
  <si>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</si>
  <si>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</si>
  <si>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</si>
  <si>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</si>
  <si>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</si>
  <si>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</si>
  <si>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</si>
  <si>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</si>
  <si>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</si>
  <si>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</si>
  <si>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</si>
  <si>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</si>
  <si>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</si>
  <si>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</si>
  <si>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</si>
  <si>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</si>
  <si>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</si>
  <si>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</si>
  <si>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</si>
  <si>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</si>
  <si>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</si>
  <si>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</si>
  <si>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</si>
  <si>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</si>
  <si>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</si>
  <si>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</si>
  <si>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</si>
  <si>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</si>
  <si>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</si>
  <si>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</si>
  <si>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</si>
  <si>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</si>
  <si>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</si>
  <si>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</si>
  <si>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</si>
  <si>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</si>
  <si>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</si>
  <si>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</si>
  <si>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</si>
  <si>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</si>
  <si>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</si>
  <si>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</si>
  <si>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</si>
  <si>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</si>
  <si>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</si>
  <si>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</si>
  <si>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</si>
  <si>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</si>
  <si>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</si>
  <si>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</si>
  <si>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</si>
  <si>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</si>
  <si>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</si>
  <si>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</si>
  <si>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</si>
  <si>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</si>
  <si>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</si>
  <si>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</si>
  <si>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</si>
  <si>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</si>
  <si>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</si>
  <si>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</si>
  <si>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</si>
  <si>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</si>
  <si>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</si>
  <si>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</si>
  <si>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</si>
  <si>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</si>
  <si>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</si>
  <si>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</si>
  <si>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</si>
  <si>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</si>
  <si>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</si>
  <si>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</si>
  <si>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</si>
  <si>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</si>
  <si>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</si>
  <si>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</si>
  <si>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</si>
  <si>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</si>
  <si>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</si>
  <si>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</si>
  <si>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</si>
  <si>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</si>
  <si>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</si>
  <si>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</si>
  <si>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</si>
  <si>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</si>
  <si>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</si>
  <si>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</si>
  <si>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</si>
  <si>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</si>
  <si>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</si>
  <si>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</si>
  <si>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</si>
  <si>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</si>
  <si>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</si>
  <si>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</si>
  <si>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</si>
  <si>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</si>
  <si>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</si>
  <si>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</si>
  <si>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</si>
  <si>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</si>
  <si>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</si>
  <si>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</si>
  <si>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</si>
  <si>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</si>
  <si>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</si>
  <si>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</si>
  <si>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</si>
  <si>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</si>
  <si>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</si>
  <si>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</si>
  <si>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</si>
  <si>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</si>
  <si>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</si>
  <si>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</si>
  <si>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</si>
  <si>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</si>
  <si>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</si>
  <si>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</si>
  <si>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</si>
  <si>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</si>
  <si>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</si>
  <si>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</si>
  <si>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</si>
  <si>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</si>
  <si>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</si>
  <si>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</si>
  <si>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</si>
  <si>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</si>
  <si>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</si>
  <si>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</si>
  <si>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</si>
  <si>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</si>
  <si>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</si>
  <si>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</si>
  <si>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</si>
  <si>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</si>
  <si>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</si>
  <si>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</si>
  <si>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</si>
  <si>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</si>
  <si>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</si>
  <si>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</si>
  <si>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</si>
  <si>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</si>
  <si>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</si>
  <si>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</si>
  <si>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</si>
  <si>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</si>
  <si>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</si>
  <si>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</si>
  <si>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</si>
  <si>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</si>
  <si>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</si>
  <si>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</si>
  <si>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</si>
  <si>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</si>
  <si>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</si>
  <si>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</si>
  <si>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</si>
  <si>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</si>
  <si>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</si>
  <si>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</si>
  <si>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</si>
  <si>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</si>
  <si>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</si>
  <si>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</si>
  <si>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</si>
  <si>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</si>
  <si>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</si>
  <si>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</si>
  <si>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</si>
  <si>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</si>
  <si>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</si>
  <si>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</si>
  <si>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</si>
  <si>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</si>
  <si>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</si>
  <si>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</si>
  <si>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</si>
  <si>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</si>
  <si>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</si>
  <si>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</si>
  <si>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</si>
  <si>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</si>
  <si>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</si>
  <si>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</si>
  <si>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</si>
  <si>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</si>
  <si>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</si>
  <si>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</si>
  <si>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</si>
  <si>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</si>
  <si>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</si>
  <si>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</si>
  <si>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</si>
  <si>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</si>
  <si>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</si>
  <si>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</si>
  <si>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</si>
  <si>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</si>
  <si>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</si>
  <si>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</si>
  <si>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</si>
  <si>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</si>
  <si>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</si>
  <si>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</si>
  <si>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</si>
  <si>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</si>
  <si>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</si>
  <si>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</si>
  <si>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</si>
  <si>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</si>
  <si>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</si>
  <si>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</si>
  <si>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</si>
  <si>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</si>
  <si>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</si>
  <si>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</si>
  <si>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</si>
  <si>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</si>
  <si>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</si>
  <si>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</si>
  <si>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</si>
  <si>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</si>
  <si>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</si>
  <si>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</si>
  <si>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</si>
  <si>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</si>
  <si>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</si>
  <si>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</si>
  <si>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</si>
  <si>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</si>
  <si>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</si>
  <si>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</si>
  <si>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</si>
  <si>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</si>
  <si>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</si>
  <si>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</si>
  <si>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</si>
  <si>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</si>
  <si>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</si>
  <si>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</si>
  <si>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</si>
  <si>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</si>
  <si>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</si>
  <si>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</si>
  <si>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</si>
  <si>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</si>
  <si>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</si>
  <si>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</si>
  <si>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</si>
  <si>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</si>
  <si>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</si>
  <si>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</si>
  <si>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</si>
  <si>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</si>
  <si>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</si>
  <si>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</si>
  <si>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</si>
  <si>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</si>
  <si>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</si>
  <si>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</si>
  <si>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</si>
  <si>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</si>
  <si>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</si>
  <si>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</si>
  <si>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</si>
  <si>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</si>
  <si>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</si>
  <si>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</si>
  <si>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</si>
  <si>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</si>
  <si>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</si>
  <si>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</si>
  <si>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</si>
  <si>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</si>
  <si>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</si>
  <si>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</si>
  <si>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</si>
  <si>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</si>
  <si>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</si>
  <si>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</si>
  <si>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</si>
  <si>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</si>
  <si>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</si>
  <si>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</si>
  <si>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</si>
  <si>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</si>
  <si>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</si>
  <si>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</si>
  <si>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</si>
  <si>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</si>
  <si>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</si>
  <si>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</si>
  <si>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</si>
  <si>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</si>
  <si>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</si>
  <si>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</si>
  <si>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</si>
  <si>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</si>
  <si>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</si>
  <si>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</si>
  <si>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</si>
  <si>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</si>
  <si>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</si>
  <si>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</si>
  <si>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</si>
  <si>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</si>
  <si>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</si>
  <si>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</si>
  <si>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</si>
  <si>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</si>
  <si>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</si>
  <si>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</si>
  <si>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</si>
  <si>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</si>
  <si>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</si>
  <si>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</si>
  <si>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</si>
  <si>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</si>
  <si>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</si>
  <si>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</si>
  <si>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</si>
  <si>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</si>
  <si>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</si>
  <si>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</si>
  <si>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</si>
  <si>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</si>
  <si>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</si>
  <si>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</si>
  <si>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</si>
  <si>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</si>
  <si>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</si>
  <si>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</si>
  <si>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</si>
  <si>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</si>
  <si>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</si>
  <si>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</si>
  <si>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</si>
  <si>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</si>
  <si>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</si>
  <si>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</si>
  <si>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</si>
  <si>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</si>
  <si>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</si>
  <si>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</si>
  <si>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</si>
  <si>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</si>
  <si>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</si>
  <si>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</si>
  <si>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</si>
  <si>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</si>
  <si>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</si>
  <si>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</si>
  <si>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</si>
  <si>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</si>
  <si>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</si>
  <si>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</si>
  <si>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</si>
  <si>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</si>
  <si>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</si>
  <si>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</si>
  <si>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</si>
  <si>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</si>
  <si>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</si>
  <si>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</si>
  <si>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</si>
  <si>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</si>
  <si>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</si>
  <si>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</si>
  <si>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</si>
  <si>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</si>
  <si>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</si>
  <si>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</si>
  <si>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</si>
  <si>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</si>
  <si>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</si>
  <si>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</si>
  <si>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</si>
  <si>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</si>
  <si>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</si>
  <si>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</si>
  <si>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</si>
  <si>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</si>
  <si>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</si>
  <si>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</si>
  <si>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</si>
  <si>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</si>
  <si>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</si>
  <si>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</si>
  <si>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</si>
  <si>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</si>
  <si>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</si>
  <si>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</si>
  <si>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</si>
  <si>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</si>
  <si>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</si>
  <si>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</si>
  <si>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</si>
  <si>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</si>
  <si>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</si>
  <si>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</si>
  <si>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</si>
  <si>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</si>
  <si>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</si>
  <si>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</si>
  <si>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</si>
  <si>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</si>
  <si>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</si>
  <si>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</si>
  <si>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</si>
  <si>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</si>
  <si>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</si>
  <si>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</si>
  <si>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DAQO (Ticker: DQ)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</si>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</sst>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E31" sqref="E31"/>
    </sheetView>
  </sheetViews>
  <sheetFormatPr defaultColWidth="8.77734375" defaultRowHeight="14.4" x14ac:dyDescent="0.3"/>
  <sheetData>
    <row r="1" spans="1: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topLeftCell="A243" workbookViewId="0">
      <selection activeCell="K251" sqref="K251"/>
    </sheetView>
  </sheetViews>
  <sheetFormatPr defaultColWidth="8.77734375" defaultRowHeight="14.4" x14ac:dyDescent="0.3"/>
  <cols>
    <col min="2" max="2" width="10.77734375" customWidth="1"/>
    <col min="11" max="11" width="9" bestFit="1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J2">
        <f>(C2-F2)*H2</f>
        <v>199584.00000000017</v>
      </c>
    </row>
    <row r="3" spans="1:10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 t="shared" ref="J3:J66" si="0">(C3-F3)*H3</f>
        <v>133855.16340000223</v>
      </c>
    </row>
    <row r="4" spans="1:10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J4">
        <f t="shared" si="0"/>
        <v>-706141.88220000069</v>
      </c>
    </row>
    <row r="5" spans="1:10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J5">
        <f t="shared" si="0"/>
        <v>-33509.329799999789</v>
      </c>
    </row>
    <row r="6" spans="1:10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J6">
        <f t="shared" si="0"/>
        <v>-29134.417299999815</v>
      </c>
    </row>
    <row r="7" spans="1:10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J7">
        <f t="shared" si="0"/>
        <v>85770.000000000204</v>
      </c>
    </row>
    <row r="8" spans="1:10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J8">
        <f t="shared" si="0"/>
        <v>45913.147800000203</v>
      </c>
    </row>
    <row r="9" spans="1:10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J9">
        <f t="shared" si="0"/>
        <v>0</v>
      </c>
    </row>
    <row r="10" spans="1:10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J10">
        <f t="shared" si="0"/>
        <v>4127.9999999991787</v>
      </c>
    </row>
    <row r="11" spans="1:10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J11">
        <f t="shared" si="0"/>
        <v>107099.64299999988</v>
      </c>
    </row>
    <row r="12" spans="1:10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J12">
        <f t="shared" si="0"/>
        <v>-41040.000000000036</v>
      </c>
    </row>
    <row r="13" spans="1:10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J13">
        <f t="shared" si="0"/>
        <v>0</v>
      </c>
    </row>
    <row r="14" spans="1:10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J14">
        <f t="shared" si="0"/>
        <v>-36592.000000000029</v>
      </c>
    </row>
    <row r="15" spans="1:10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J15">
        <f t="shared" si="0"/>
        <v>4311.4310999995851</v>
      </c>
    </row>
    <row r="16" spans="1:10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J16">
        <f t="shared" si="0"/>
        <v>-15378.780299999837</v>
      </c>
    </row>
    <row r="17" spans="1:10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J17">
        <f t="shared" si="0"/>
        <v>275695.00000000111</v>
      </c>
    </row>
    <row r="18" spans="1:10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J18">
        <f t="shared" si="0"/>
        <v>11065.999999999764</v>
      </c>
    </row>
    <row r="19" spans="1:10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J19">
        <f t="shared" si="0"/>
        <v>39588.280200000336</v>
      </c>
    </row>
    <row r="20" spans="1:10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J20">
        <f t="shared" si="0"/>
        <v>-56556.628400000554</v>
      </c>
    </row>
    <row r="21" spans="1:10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J21">
        <f t="shared" si="0"/>
        <v>-11184.776299999929</v>
      </c>
    </row>
    <row r="22" spans="1:10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J22">
        <f t="shared" si="0"/>
        <v>-2491.9999999995043</v>
      </c>
    </row>
    <row r="23" spans="1:10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J23">
        <f t="shared" si="0"/>
        <v>49959.999999998938</v>
      </c>
    </row>
    <row r="24" spans="1:10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J24">
        <f t="shared" si="0"/>
        <v>191975.99999999875</v>
      </c>
    </row>
    <row r="25" spans="1:10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J25">
        <f t="shared" si="0"/>
        <v>123453.99999999994</v>
      </c>
    </row>
    <row r="26" spans="1:10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J26">
        <f t="shared" si="0"/>
        <v>-93081.000000000175</v>
      </c>
    </row>
    <row r="27" spans="1:10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J27">
        <f t="shared" si="0"/>
        <v>63535.711200000398</v>
      </c>
    </row>
    <row r="28" spans="1:10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J28">
        <f t="shared" si="0"/>
        <v>107603.23140000101</v>
      </c>
    </row>
    <row r="29" spans="1:10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J29">
        <f t="shared" si="0"/>
        <v>5565.9999999998818</v>
      </c>
    </row>
    <row r="30" spans="1:10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J30">
        <f t="shared" si="0"/>
        <v>-21580.000000000306</v>
      </c>
    </row>
    <row r="31" spans="1:10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J31">
        <f t="shared" si="0"/>
        <v>-14406.480200000187</v>
      </c>
    </row>
    <row r="32" spans="1:10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J32">
        <f t="shared" si="0"/>
        <v>-14688.000000000338</v>
      </c>
    </row>
    <row r="33" spans="1:10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J33">
        <f t="shared" si="0"/>
        <v>-68957.999999999898</v>
      </c>
    </row>
    <row r="34" spans="1:10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J34">
        <f t="shared" si="0"/>
        <v>-47346.182099999824</v>
      </c>
    </row>
    <row r="35" spans="1:10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J35">
        <f t="shared" si="0"/>
        <v>72971.797299999671</v>
      </c>
    </row>
    <row r="36" spans="1:10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J36">
        <f t="shared" si="0"/>
        <v>9360.311999999567</v>
      </c>
    </row>
    <row r="37" spans="1:10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J37">
        <f t="shared" si="0"/>
        <v>172655.9999999991</v>
      </c>
    </row>
    <row r="38" spans="1:10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J38">
        <f t="shared" si="0"/>
        <v>-60780.202600000353</v>
      </c>
    </row>
    <row r="39" spans="1:10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J39">
        <f t="shared" si="0"/>
        <v>112480.56240000018</v>
      </c>
    </row>
    <row r="40" spans="1:10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J40">
        <f t="shared" si="0"/>
        <v>33266.74409999948</v>
      </c>
    </row>
    <row r="41" spans="1:10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J41">
        <f t="shared" si="0"/>
        <v>7647.2548999996461</v>
      </c>
    </row>
    <row r="42" spans="1:10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J42">
        <f t="shared" si="0"/>
        <v>-238139.47079999908</v>
      </c>
    </row>
    <row r="43" spans="1:10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J43">
        <f t="shared" si="0"/>
        <v>0</v>
      </c>
    </row>
    <row r="44" spans="1:10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J44">
        <f t="shared" si="0"/>
        <v>-70307.999999999884</v>
      </c>
    </row>
    <row r="45" spans="1:10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J45">
        <f t="shared" si="0"/>
        <v>44437.99999999952</v>
      </c>
    </row>
    <row r="46" spans="1:10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J46">
        <f t="shared" si="0"/>
        <v>-93945.499999999724</v>
      </c>
    </row>
    <row r="47" spans="1:10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J47">
        <f t="shared" si="0"/>
        <v>632239.20969999977</v>
      </c>
    </row>
    <row r="48" spans="1:10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J48">
        <f t="shared" si="0"/>
        <v>-73728.000000000611</v>
      </c>
    </row>
    <row r="49" spans="1:10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J49">
        <f t="shared" si="0"/>
        <v>-81038.614099999933</v>
      </c>
    </row>
    <row r="50" spans="1:10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J50">
        <f t="shared" si="0"/>
        <v>15539.689199999901</v>
      </c>
    </row>
    <row r="51" spans="1:10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J51">
        <f t="shared" si="0"/>
        <v>37542.658699999454</v>
      </c>
    </row>
    <row r="52" spans="1:10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J52">
        <f t="shared" si="0"/>
        <v>159258.00000000009</v>
      </c>
    </row>
    <row r="53" spans="1:10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J53">
        <f t="shared" si="0"/>
        <v>-92091.999999999302</v>
      </c>
    </row>
    <row r="54" spans="1:10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J54">
        <f t="shared" si="0"/>
        <v>41455.99999999912</v>
      </c>
    </row>
    <row r="55" spans="1:10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J55">
        <f t="shared" si="0"/>
        <v>-15525.000000000588</v>
      </c>
    </row>
    <row r="56" spans="1:10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J56">
        <f t="shared" si="0"/>
        <v>-7689.8462000004974</v>
      </c>
    </row>
    <row r="57" spans="1:10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J57">
        <f t="shared" si="0"/>
        <v>26570.000000000378</v>
      </c>
    </row>
    <row r="58" spans="1:10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J58">
        <f t="shared" si="0"/>
        <v>54740.273700000085</v>
      </c>
    </row>
    <row r="59" spans="1:10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J59">
        <f t="shared" si="0"/>
        <v>2474.0000000003865</v>
      </c>
    </row>
    <row r="60" spans="1:10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J60">
        <f t="shared" si="0"/>
        <v>-15004.136400000063</v>
      </c>
    </row>
    <row r="61" spans="1:10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J61">
        <f t="shared" si="0"/>
        <v>4529.8490000000165</v>
      </c>
    </row>
    <row r="62" spans="1:10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J62">
        <f t="shared" si="0"/>
        <v>10101.000000000042</v>
      </c>
    </row>
    <row r="63" spans="1:10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J63">
        <f t="shared" si="0"/>
        <v>1842.0000000002879</v>
      </c>
    </row>
    <row r="64" spans="1:10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J64">
        <f t="shared" si="0"/>
        <v>-61689.999999999745</v>
      </c>
    </row>
    <row r="65" spans="1:10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J65">
        <f t="shared" si="0"/>
        <v>1353.0000000002115</v>
      </c>
    </row>
    <row r="66" spans="1:10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J66">
        <f t="shared" si="0"/>
        <v>-31247.73959999999</v>
      </c>
    </row>
    <row r="67" spans="1:10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J67">
        <f t="shared" ref="J67:J130" si="1">(C67-F67)*H67</f>
        <v>49584.41319999937</v>
      </c>
    </row>
    <row r="68" spans="1:10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J68">
        <f t="shared" si="1"/>
        <v>17984.44960000008</v>
      </c>
    </row>
    <row r="69" spans="1:10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J69">
        <f t="shared" si="1"/>
        <v>14909.75150000031</v>
      </c>
    </row>
    <row r="70" spans="1:10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J70">
        <f t="shared" si="1"/>
        <v>-9063.0000000003438</v>
      </c>
    </row>
    <row r="71" spans="1:10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J71">
        <f t="shared" si="1"/>
        <v>94520.277999999264</v>
      </c>
    </row>
    <row r="72" spans="1:10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J72">
        <f t="shared" si="1"/>
        <v>3268.0000000005107</v>
      </c>
    </row>
    <row r="73" spans="1:10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J73">
        <f t="shared" si="1"/>
        <v>-25710.000000000364</v>
      </c>
    </row>
    <row r="74" spans="1:10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J74">
        <f t="shared" si="1"/>
        <v>-312480.69440000021</v>
      </c>
    </row>
    <row r="75" spans="1:10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J75">
        <f t="shared" si="1"/>
        <v>-40769.999999999935</v>
      </c>
    </row>
    <row r="76" spans="1:10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J76">
        <f t="shared" si="1"/>
        <v>77705.999999999884</v>
      </c>
    </row>
    <row r="77" spans="1:10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J77">
        <f t="shared" si="1"/>
        <v>30984.380299999804</v>
      </c>
    </row>
    <row r="78" spans="1:10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J78">
        <f t="shared" si="1"/>
        <v>-23369.754000000343</v>
      </c>
    </row>
    <row r="79" spans="1:10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J79">
        <f t="shared" si="1"/>
        <v>16199.675999999898</v>
      </c>
    </row>
    <row r="80" spans="1:10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J80">
        <f t="shared" si="1"/>
        <v>19488.000000000451</v>
      </c>
    </row>
    <row r="81" spans="1:10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J81">
        <f t="shared" si="1"/>
        <v>195216.92960000175</v>
      </c>
    </row>
    <row r="82" spans="1:10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J82">
        <f t="shared" si="1"/>
        <v>16303.999999999653</v>
      </c>
    </row>
    <row r="83" spans="1:10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J83">
        <f t="shared" si="1"/>
        <v>67424.000000000058</v>
      </c>
    </row>
    <row r="84" spans="1:10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J84">
        <f t="shared" si="1"/>
        <v>-7463.5023999997711</v>
      </c>
    </row>
    <row r="85" spans="1:10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J85">
        <f t="shared" si="1"/>
        <v>0</v>
      </c>
    </row>
    <row r="86" spans="1:10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J86">
        <f t="shared" si="1"/>
        <v>-14075.999999999978</v>
      </c>
    </row>
    <row r="87" spans="1:10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J87">
        <f t="shared" si="1"/>
        <v>-31529.789800000231</v>
      </c>
    </row>
    <row r="88" spans="1:10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J88">
        <f t="shared" si="1"/>
        <v>-41546.622300000738</v>
      </c>
    </row>
    <row r="89" spans="1:10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J89">
        <f t="shared" si="1"/>
        <v>100991.5792000004</v>
      </c>
    </row>
    <row r="90" spans="1:10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J90">
        <f t="shared" si="1"/>
        <v>25397.999999999458</v>
      </c>
    </row>
    <row r="91" spans="1:10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J91">
        <f t="shared" si="1"/>
        <v>-26752.000000000182</v>
      </c>
    </row>
    <row r="92" spans="1:10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J92">
        <f t="shared" si="1"/>
        <v>0</v>
      </c>
    </row>
    <row r="93" spans="1:10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J93">
        <f t="shared" si="1"/>
        <v>10915.436599999828</v>
      </c>
    </row>
    <row r="94" spans="1:10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J94">
        <f t="shared" si="1"/>
        <v>115691.62680000046</v>
      </c>
    </row>
    <row r="95" spans="1:10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J95">
        <f t="shared" si="1"/>
        <v>52541.99999999992</v>
      </c>
    </row>
    <row r="96" spans="1:10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J96">
        <f t="shared" si="1"/>
        <v>90527.622800000361</v>
      </c>
    </row>
    <row r="97" spans="1:10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J97">
        <f t="shared" si="1"/>
        <v>-31933.000000000866</v>
      </c>
    </row>
    <row r="98" spans="1:10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J98">
        <f t="shared" si="1"/>
        <v>22798.674299999759</v>
      </c>
    </row>
    <row r="99" spans="1:10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J99">
        <f t="shared" si="1"/>
        <v>27370.000000000389</v>
      </c>
    </row>
    <row r="100" spans="1:10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J100">
        <f t="shared" si="1"/>
        <v>31967.999999999949</v>
      </c>
    </row>
    <row r="101" spans="1:10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J101">
        <f t="shared" si="1"/>
        <v>2312.0000000003615</v>
      </c>
    </row>
    <row r="102" spans="1:10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J102">
        <f t="shared" si="1"/>
        <v>3492.1746000001049</v>
      </c>
    </row>
    <row r="103" spans="1:10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J103">
        <f t="shared" si="1"/>
        <v>97343.99999999936</v>
      </c>
    </row>
    <row r="104" spans="1:10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J104">
        <f t="shared" si="1"/>
        <v>-76560.000000000422</v>
      </c>
    </row>
    <row r="105" spans="1:10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J105">
        <f t="shared" si="1"/>
        <v>-7195.2877999998873</v>
      </c>
    </row>
    <row r="106" spans="1:10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J106">
        <f t="shared" si="1"/>
        <v>52220.261100000083</v>
      </c>
    </row>
    <row r="107" spans="1:10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J107">
        <f t="shared" si="1"/>
        <v>18101.870699999941</v>
      </c>
    </row>
    <row r="108" spans="1:10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J108">
        <f t="shared" si="1"/>
        <v>-19644.607099999874</v>
      </c>
    </row>
    <row r="109" spans="1:10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J109">
        <f t="shared" si="1"/>
        <v>-112290.37430000065</v>
      </c>
    </row>
    <row r="110" spans="1:10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J110">
        <f t="shared" si="1"/>
        <v>-91147.314300000056</v>
      </c>
    </row>
    <row r="111" spans="1:10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J111">
        <f t="shared" si="1"/>
        <v>-45197.999999999927</v>
      </c>
    </row>
    <row r="112" spans="1:10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J112">
        <f t="shared" si="1"/>
        <v>-36432.30360000061</v>
      </c>
    </row>
    <row r="113" spans="1:10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J113">
        <f t="shared" si="1"/>
        <v>-96146.999999999854</v>
      </c>
    </row>
    <row r="114" spans="1:10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J114">
        <f t="shared" si="1"/>
        <v>27107.774099999991</v>
      </c>
    </row>
    <row r="115" spans="1:10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J115">
        <f t="shared" si="1"/>
        <v>-96936.979600001418</v>
      </c>
    </row>
    <row r="116" spans="1:10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J116">
        <f t="shared" si="1"/>
        <v>-5095.5094999995099</v>
      </c>
    </row>
    <row r="117" spans="1:10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J117">
        <f t="shared" si="1"/>
        <v>1776.0000000002776</v>
      </c>
    </row>
    <row r="118" spans="1:10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J118">
        <f t="shared" si="1"/>
        <v>4212.1403999998056</v>
      </c>
    </row>
    <row r="119" spans="1:10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J119">
        <f t="shared" si="1"/>
        <v>51374.65750000038</v>
      </c>
    </row>
    <row r="120" spans="1:10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J120">
        <f t="shared" si="1"/>
        <v>0</v>
      </c>
    </row>
    <row r="121" spans="1:10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J121">
        <f t="shared" si="1"/>
        <v>-23672.215200000101</v>
      </c>
    </row>
    <row r="122" spans="1:10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J122">
        <f t="shared" si="1"/>
        <v>-21029.579400000614</v>
      </c>
    </row>
    <row r="123" spans="1:10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J123">
        <f t="shared" si="1"/>
        <v>12805.512199999799</v>
      </c>
    </row>
    <row r="124" spans="1:10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J124">
        <f t="shared" si="1"/>
        <v>17856.000000000015</v>
      </c>
    </row>
    <row r="125" spans="1:10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J125">
        <f t="shared" si="1"/>
        <v>31547.737099999991</v>
      </c>
    </row>
    <row r="126" spans="1:10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J126">
        <f t="shared" si="1"/>
        <v>-11240.999999999982</v>
      </c>
    </row>
    <row r="127" spans="1:10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J127">
        <f t="shared" si="1"/>
        <v>24084.200699999692</v>
      </c>
    </row>
    <row r="128" spans="1:10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J128">
        <f t="shared" si="1"/>
        <v>-18900.000000000076</v>
      </c>
    </row>
    <row r="129" spans="1:10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J129">
        <f t="shared" si="1"/>
        <v>-21394.999999999891</v>
      </c>
    </row>
    <row r="130" spans="1:10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J130">
        <f t="shared" si="1"/>
        <v>-165738.36029999939</v>
      </c>
    </row>
    <row r="131" spans="1:10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J131">
        <f t="shared" ref="J131:J194" si="2">(C131-F131)*H131</f>
        <v>49799.833999999944</v>
      </c>
    </row>
    <row r="132" spans="1:10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J132">
        <f t="shared" si="2"/>
        <v>-66444.237300000517</v>
      </c>
    </row>
    <row r="133" spans="1:10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J133">
        <f t="shared" si="2"/>
        <v>-3017.6982000001617</v>
      </c>
    </row>
    <row r="134" spans="1:10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J134">
        <f t="shared" si="2"/>
        <v>6491.8377000002711</v>
      </c>
    </row>
    <row r="135" spans="1:10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J135">
        <f t="shared" si="2"/>
        <v>93474.173100000029</v>
      </c>
    </row>
    <row r="136" spans="1:10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J136">
        <f t="shared" si="2"/>
        <v>20663.852399999931</v>
      </c>
    </row>
    <row r="137" spans="1:10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J137">
        <f t="shared" si="2"/>
        <v>27579.802999999909</v>
      </c>
    </row>
    <row r="138" spans="1:10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J138">
        <f t="shared" si="2"/>
        <v>17720.000000000407</v>
      </c>
    </row>
    <row r="139" spans="1:10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J139">
        <f t="shared" si="2"/>
        <v>-5448.0000000002065</v>
      </c>
    </row>
    <row r="140" spans="1:10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J140">
        <f t="shared" si="2"/>
        <v>34627.999999999818</v>
      </c>
    </row>
    <row r="141" spans="1:10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J141">
        <f t="shared" si="2"/>
        <v>47239.763799999586</v>
      </c>
    </row>
    <row r="142" spans="1:10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J142">
        <f t="shared" si="2"/>
        <v>-35009.999999999665</v>
      </c>
    </row>
    <row r="143" spans="1:10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J143">
        <f t="shared" si="2"/>
        <v>-32165.642600000217</v>
      </c>
    </row>
    <row r="144" spans="1:10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J144">
        <f t="shared" si="2"/>
        <v>-51960.173200000303</v>
      </c>
    </row>
    <row r="145" spans="1:10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J145">
        <f t="shared" si="2"/>
        <v>-28200.23499999964</v>
      </c>
    </row>
    <row r="146" spans="1:10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J146">
        <f t="shared" si="2"/>
        <v>-15812.999999999975</v>
      </c>
    </row>
    <row r="147" spans="1:10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J147">
        <f t="shared" si="2"/>
        <v>2718.0000000004247</v>
      </c>
    </row>
    <row r="148" spans="1:10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J148">
        <f t="shared" si="2"/>
        <v>-43844.999999999585</v>
      </c>
    </row>
    <row r="149" spans="1:10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J149">
        <f t="shared" si="2"/>
        <v>-11525.80790000024</v>
      </c>
    </row>
    <row r="150" spans="1:10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J150">
        <f t="shared" si="2"/>
        <v>-13248.000000000502</v>
      </c>
    </row>
    <row r="151" spans="1:10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J151">
        <f t="shared" si="2"/>
        <v>40270.999999998123</v>
      </c>
    </row>
    <row r="152" spans="1:10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J152">
        <f t="shared" si="2"/>
        <v>32819.72649999999</v>
      </c>
    </row>
    <row r="153" spans="1:10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J153">
        <f t="shared" si="2"/>
        <v>-9294.8140999999414</v>
      </c>
    </row>
    <row r="154" spans="1:10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J154">
        <f t="shared" si="2"/>
        <v>-28919.758999999991</v>
      </c>
    </row>
    <row r="155" spans="1:10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J155">
        <f t="shared" si="2"/>
        <v>2132.2131999997951</v>
      </c>
    </row>
    <row r="156" spans="1:10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J156">
        <f t="shared" si="2"/>
        <v>50759.873100000143</v>
      </c>
    </row>
    <row r="157" spans="1:10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J157">
        <f t="shared" si="2"/>
        <v>-40810.185499999978</v>
      </c>
    </row>
    <row r="158" spans="1:10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J158">
        <f t="shared" si="2"/>
        <v>-19970.999999999967</v>
      </c>
    </row>
    <row r="159" spans="1:10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J159">
        <f t="shared" si="2"/>
        <v>80819.77550000044</v>
      </c>
    </row>
    <row r="160" spans="1:10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J160">
        <f t="shared" si="2"/>
        <v>-49192.000000000298</v>
      </c>
    </row>
    <row r="161" spans="1:10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J161">
        <f t="shared" si="2"/>
        <v>-28080.000000000025</v>
      </c>
    </row>
    <row r="162" spans="1:10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J162">
        <f t="shared" si="2"/>
        <v>-3548.0000000005548</v>
      </c>
    </row>
    <row r="163" spans="1:10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J163">
        <f t="shared" si="2"/>
        <v>35243.893200000086</v>
      </c>
    </row>
    <row r="164" spans="1:10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J164">
        <f t="shared" si="2"/>
        <v>-46953.173899999485</v>
      </c>
    </row>
    <row r="165" spans="1:10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J165">
        <f t="shared" si="2"/>
        <v>30208.000000000025</v>
      </c>
    </row>
    <row r="166" spans="1:10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J166">
        <f t="shared" si="2"/>
        <v>-7163.9999999999891</v>
      </c>
    </row>
    <row r="167" spans="1:10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J167">
        <f t="shared" si="2"/>
        <v>14475.86839999979</v>
      </c>
    </row>
    <row r="168" spans="1:10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J168">
        <f t="shared" si="2"/>
        <v>-14119.717599999911</v>
      </c>
    </row>
    <row r="169" spans="1:10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J169">
        <f t="shared" si="2"/>
        <v>-21279.848000000471</v>
      </c>
    </row>
    <row r="170" spans="1:10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J170">
        <f t="shared" si="2"/>
        <v>-47053.258700000675</v>
      </c>
    </row>
    <row r="171" spans="1:10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J171">
        <f t="shared" si="2"/>
        <v>-16192.147200000069</v>
      </c>
    </row>
    <row r="172" spans="1:10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J172">
        <f t="shared" si="2"/>
        <v>31443.775399999897</v>
      </c>
    </row>
    <row r="173" spans="1:10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J173">
        <f t="shared" si="2"/>
        <v>0</v>
      </c>
    </row>
    <row r="174" spans="1:10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J174">
        <f t="shared" si="2"/>
        <v>11773.831800000473</v>
      </c>
    </row>
    <row r="175" spans="1:10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J175">
        <f t="shared" si="2"/>
        <v>9995.8571999998931</v>
      </c>
    </row>
    <row r="176" spans="1:10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J176">
        <f t="shared" si="2"/>
        <v>-29106.207900000332</v>
      </c>
    </row>
    <row r="177" spans="1:10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J177">
        <f t="shared" si="2"/>
        <v>-5100.1275000000223</v>
      </c>
    </row>
    <row r="178" spans="1:10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J178">
        <f t="shared" si="2"/>
        <v>32500.250000000007</v>
      </c>
    </row>
    <row r="179" spans="1:10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J179">
        <f t="shared" si="2"/>
        <v>-127125</v>
      </c>
    </row>
    <row r="180" spans="1:10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J180">
        <f t="shared" si="2"/>
        <v>45628.000000000458</v>
      </c>
    </row>
    <row r="181" spans="1:10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J181">
        <f t="shared" si="2"/>
        <v>41238.229099999357</v>
      </c>
    </row>
    <row r="182" spans="1:10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J182">
        <f t="shared" si="2"/>
        <v>0</v>
      </c>
    </row>
    <row r="183" spans="1:10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J183">
        <f t="shared" si="2"/>
        <v>-35123.319300000148</v>
      </c>
    </row>
    <row r="184" spans="1:10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J184">
        <f t="shared" si="2"/>
        <v>119584.3231999995</v>
      </c>
    </row>
    <row r="185" spans="1:10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J185">
        <f t="shared" si="2"/>
        <v>2717.7282000001455</v>
      </c>
    </row>
    <row r="186" spans="1:10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J186">
        <f t="shared" si="2"/>
        <v>11916.000000000451</v>
      </c>
    </row>
    <row r="187" spans="1:10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J187">
        <f t="shared" si="2"/>
        <v>13392.000000000309</v>
      </c>
    </row>
    <row r="188" spans="1:10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J188">
        <f t="shared" si="2"/>
        <v>-17731.506599999691</v>
      </c>
    </row>
    <row r="189" spans="1:10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J189">
        <f t="shared" si="2"/>
        <v>61590.000000000873</v>
      </c>
    </row>
    <row r="190" spans="1:10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J190">
        <f t="shared" si="2"/>
        <v>38090.293000000012</v>
      </c>
    </row>
    <row r="191" spans="1:10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J191">
        <f t="shared" si="2"/>
        <v>-28356.000000000284</v>
      </c>
    </row>
    <row r="192" spans="1:10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J192">
        <f t="shared" si="2"/>
        <v>11456.000000000264</v>
      </c>
    </row>
    <row r="193" spans="1:10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J193">
        <f t="shared" si="2"/>
        <v>46325</v>
      </c>
    </row>
    <row r="194" spans="1:10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J194">
        <f t="shared" si="2"/>
        <v>-20627.999999999967</v>
      </c>
    </row>
    <row r="195" spans="1:10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J195">
        <f t="shared" ref="J195:J252" si="3">(C195-F195)*H195</f>
        <v>-5219.8955999999671</v>
      </c>
    </row>
    <row r="196" spans="1:10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J196">
        <f t="shared" si="3"/>
        <v>6228.1557000000275</v>
      </c>
    </row>
    <row r="197" spans="1:10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J197">
        <f t="shared" si="3"/>
        <v>48209.999999999542</v>
      </c>
    </row>
    <row r="198" spans="1:10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J198">
        <f t="shared" si="3"/>
        <v>111684.00000000004</v>
      </c>
    </row>
    <row r="199" spans="1:10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J199">
        <f t="shared" si="3"/>
        <v>83804.299299999591</v>
      </c>
    </row>
    <row r="200" spans="1:10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J200">
        <f t="shared" si="3"/>
        <v>16929.500000000069</v>
      </c>
    </row>
    <row r="201" spans="1:10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J201">
        <f t="shared" si="3"/>
        <v>-155084.6835000003</v>
      </c>
    </row>
    <row r="202" spans="1:10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J202">
        <f t="shared" si="3"/>
        <v>34580.132999999871</v>
      </c>
    </row>
    <row r="203" spans="1:10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J203">
        <f t="shared" si="3"/>
        <v>62849.581000000464</v>
      </c>
    </row>
    <row r="204" spans="1:10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J204">
        <f t="shared" si="3"/>
        <v>-34110.000000001295</v>
      </c>
    </row>
    <row r="205" spans="1:10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J205">
        <f t="shared" si="3"/>
        <v>102985.99999999996</v>
      </c>
    </row>
    <row r="206" spans="1:10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J206">
        <f t="shared" si="3"/>
        <v>110929.96459999948</v>
      </c>
    </row>
    <row r="207" spans="1:10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J207">
        <f t="shared" si="3"/>
        <v>7259.8185000003032</v>
      </c>
    </row>
    <row r="208" spans="1:10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J208">
        <f t="shared" si="3"/>
        <v>30440.304399999663</v>
      </c>
    </row>
    <row r="209" spans="1:10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J209">
        <f t="shared" si="3"/>
        <v>144531.53530000031</v>
      </c>
    </row>
    <row r="210" spans="1:10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J210">
        <f t="shared" si="3"/>
        <v>-196923.24260000041</v>
      </c>
    </row>
    <row r="211" spans="1:10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J211">
        <f t="shared" si="3"/>
        <v>2272.2271999997815</v>
      </c>
    </row>
    <row r="212" spans="1:10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J212">
        <f t="shared" si="3"/>
        <v>9349.8129999999401</v>
      </c>
    </row>
    <row r="213" spans="1:10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J213">
        <f t="shared" si="3"/>
        <v>-1862.6274000005701</v>
      </c>
    </row>
    <row r="214" spans="1:10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J214">
        <f t="shared" si="3"/>
        <v>100603.27189999959</v>
      </c>
    </row>
    <row r="215" spans="1:10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J215">
        <f t="shared" si="3"/>
        <v>367975.00000000012</v>
      </c>
    </row>
    <row r="216" spans="1:10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J216">
        <f t="shared" si="3"/>
        <v>-213337.18519999666</v>
      </c>
    </row>
    <row r="217" spans="1:10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J217">
        <f t="shared" si="3"/>
        <v>-1233791.9999999972</v>
      </c>
    </row>
    <row r="218" spans="1:10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J218">
        <f t="shared" si="3"/>
        <v>-28809.423799999819</v>
      </c>
    </row>
    <row r="219" spans="1:10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J219">
        <f t="shared" si="3"/>
        <v>-28944.00000000024</v>
      </c>
    </row>
    <row r="220" spans="1:10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J220">
        <f t="shared" si="3"/>
        <v>87739.785999999804</v>
      </c>
    </row>
    <row r="221" spans="1:10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J221">
        <f t="shared" si="3"/>
        <v>88255.369600000835</v>
      </c>
    </row>
    <row r="222" spans="1:10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J222">
        <f t="shared" si="3"/>
        <v>334400</v>
      </c>
    </row>
    <row r="223" spans="1:10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J223">
        <f t="shared" si="3"/>
        <v>285613.3790999999</v>
      </c>
    </row>
    <row r="224" spans="1:10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J224">
        <f t="shared" si="3"/>
        <v>-193212.53670000026</v>
      </c>
    </row>
    <row r="225" spans="1:10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J225">
        <f t="shared" si="3"/>
        <v>-4803.4802999995381</v>
      </c>
    </row>
    <row r="226" spans="1:10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J226">
        <f t="shared" si="3"/>
        <v>117503.99999999996</v>
      </c>
    </row>
    <row r="227" spans="1:10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J227">
        <f t="shared" si="3"/>
        <v>53135.999999998865</v>
      </c>
    </row>
    <row r="228" spans="1:10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J228">
        <f t="shared" si="3"/>
        <v>34215.456199999331</v>
      </c>
    </row>
    <row r="229" spans="1:10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J229">
        <f t="shared" si="3"/>
        <v>4762.9999999990523</v>
      </c>
    </row>
    <row r="230" spans="1:10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J230">
        <f t="shared" si="3"/>
        <v>-35547.015599999388</v>
      </c>
    </row>
    <row r="231" spans="1:10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J231">
        <f t="shared" si="3"/>
        <v>27683.538600000575</v>
      </c>
    </row>
    <row r="232" spans="1:10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J232">
        <f t="shared" si="3"/>
        <v>-48494.67670000036</v>
      </c>
    </row>
    <row r="233" spans="1:10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J233">
        <f t="shared" si="3"/>
        <v>-56681.999999999913</v>
      </c>
    </row>
    <row r="234" spans="1:10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J234">
        <f t="shared" si="3"/>
        <v>-61636.324399999598</v>
      </c>
    </row>
    <row r="235" spans="1:10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J235">
        <f t="shared" si="3"/>
        <v>75327.000000000757</v>
      </c>
    </row>
    <row r="236" spans="1:10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J236">
        <f t="shared" si="3"/>
        <v>12708.000000000482</v>
      </c>
    </row>
    <row r="237" spans="1:10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J237">
        <f t="shared" si="3"/>
        <v>-126145.05120000026</v>
      </c>
    </row>
    <row r="238" spans="1:10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J238">
        <f t="shared" si="3"/>
        <v>0</v>
      </c>
    </row>
    <row r="239" spans="1:10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J239">
        <f t="shared" si="3"/>
        <v>28799.759999999991</v>
      </c>
    </row>
    <row r="240" spans="1:10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J240">
        <f t="shared" si="3"/>
        <v>-9971.3351999996939</v>
      </c>
    </row>
    <row r="241" spans="1:12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J241">
        <f t="shared" si="3"/>
        <v>9300.0000000003529</v>
      </c>
    </row>
    <row r="242" spans="1:12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J242">
        <f t="shared" si="3"/>
        <v>27395.999999999956</v>
      </c>
    </row>
    <row r="243" spans="1:12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J243">
        <f t="shared" si="3"/>
        <v>169033.40859999784</v>
      </c>
    </row>
    <row r="244" spans="1:12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J244">
        <f t="shared" si="3"/>
        <v>176823.47789999927</v>
      </c>
    </row>
    <row r="245" spans="1:12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J245">
        <f t="shared" si="3"/>
        <v>-27475.000000000113</v>
      </c>
    </row>
    <row r="246" spans="1:12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J246">
        <f t="shared" si="3"/>
        <v>25799.48400000167</v>
      </c>
    </row>
    <row r="247" spans="1:12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J247">
        <f t="shared" si="3"/>
        <v>126462.60220000113</v>
      </c>
    </row>
    <row r="248" spans="1:12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J248">
        <f t="shared" si="3"/>
        <v>90744.238800000006</v>
      </c>
    </row>
    <row r="249" spans="1:12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J249">
        <f t="shared" si="3"/>
        <v>-110600.55300000017</v>
      </c>
    </row>
    <row r="250" spans="1:12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J250">
        <f t="shared" si="3"/>
        <v>-6114.3056999990977</v>
      </c>
    </row>
    <row r="251" spans="1:12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J251">
        <f t="shared" si="3"/>
        <v>-53410.762999999642</v>
      </c>
      <c r="K251">
        <f>SUM(J2:J252)</f>
        <v>1396473.2723999948</v>
      </c>
      <c r="L251" s="6">
        <f>K251/K252</f>
        <v>1.6808798185842723E-2</v>
      </c>
    </row>
    <row r="252" spans="1:12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J252">
        <f t="shared" si="3"/>
        <v>-18962.999999999971</v>
      </c>
      <c r="K252">
        <f>SUM(H2:H252)</f>
        <v>83079900</v>
      </c>
    </row>
    <row r="253" spans="1:12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12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12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12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A527C-6F14-480B-8107-37871557BA7E}">
  <sheetPr codeName="Sheet3"/>
  <dimension ref="A1:C4"/>
  <sheetViews>
    <sheetView workbookViewId="0">
      <selection activeCell="C4" sqref="C4"/>
    </sheetView>
  </sheetViews>
  <sheetFormatPr defaultRowHeight="14.4" x14ac:dyDescent="0.3"/>
  <cols>
    <col min="2" max="2" width="16.44140625" bestFit="1" customWidth="1"/>
  </cols>
  <sheetData>
    <row r="1" spans="1:3" x14ac:dyDescent="0.3">
      <c r="A1" t="s">
        <v>525</v>
      </c>
    </row>
    <row r="3" spans="1:3" x14ac:dyDescent="0.3">
      <c r="A3" t="s">
        <v>522</v>
      </c>
      <c r="B3" t="s">
        <v>523</v>
      </c>
      <c r="C3" t="s">
        <v>524</v>
      </c>
    </row>
    <row r="4" spans="1:3" x14ac:dyDescent="0.3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29C62-6B8A-4CD8-9256-F8426610AED2}">
  <sheetPr codeName="Sheet4"/>
  <dimension ref="A1:C15"/>
  <sheetViews>
    <sheetView tabSelected="1" workbookViewId="0">
      <selection activeCell="P8" sqref="P8"/>
    </sheetView>
  </sheetViews>
  <sheetFormatPr defaultRowHeight="14.4" x14ac:dyDescent="0.3"/>
  <cols>
    <col min="2" max="2" width="16.88671875" bestFit="1" customWidth="1"/>
  </cols>
  <sheetData>
    <row r="1" spans="1:3" x14ac:dyDescent="0.3">
      <c r="A1" t="s">
        <v>526</v>
      </c>
    </row>
    <row r="3" spans="1:3" x14ac:dyDescent="0.3">
      <c r="A3" s="2" t="s">
        <v>0</v>
      </c>
      <c r="B3" s="2" t="s">
        <v>523</v>
      </c>
      <c r="C3" s="2" t="s">
        <v>524</v>
      </c>
    </row>
    <row r="4" spans="1:3" x14ac:dyDescent="0.3">
      <c r="A4" t="s">
        <v>8</v>
      </c>
      <c r="B4" s="3">
        <v>136070900</v>
      </c>
      <c r="C4" s="5">
        <v>8.9368253946304321E-2</v>
      </c>
    </row>
    <row r="5" spans="1:3" x14ac:dyDescent="0.3">
      <c r="A5" t="s">
        <v>9</v>
      </c>
      <c r="B5" s="3">
        <v>310592800</v>
      </c>
      <c r="C5" s="5">
        <v>0.33070248365402222</v>
      </c>
    </row>
    <row r="6" spans="1:3" x14ac:dyDescent="0.3">
      <c r="A6" t="s">
        <v>10</v>
      </c>
      <c r="B6" s="3">
        <v>35796200</v>
      </c>
      <c r="C6" s="5">
        <v>1.9944583177566528</v>
      </c>
    </row>
    <row r="7" spans="1:3" x14ac:dyDescent="0.3">
      <c r="A7" t="s">
        <v>11</v>
      </c>
      <c r="B7" s="3">
        <v>221772100</v>
      </c>
      <c r="C7" s="5">
        <v>1.2952382564544678</v>
      </c>
    </row>
    <row r="8" spans="1:3" x14ac:dyDescent="0.3">
      <c r="A8" t="s">
        <v>12</v>
      </c>
      <c r="B8" s="3">
        <v>684181400</v>
      </c>
      <c r="C8" s="5">
        <v>1.0131185054779053</v>
      </c>
    </row>
    <row r="9" spans="1:3" x14ac:dyDescent="0.3">
      <c r="A9" t="s">
        <v>13</v>
      </c>
      <c r="B9" s="3">
        <v>80949300</v>
      </c>
      <c r="C9" s="5">
        <v>0.2583681046962738</v>
      </c>
    </row>
    <row r="10" spans="1:3" x14ac:dyDescent="0.3">
      <c r="A10" t="s">
        <v>14</v>
      </c>
      <c r="B10" s="3">
        <v>191632200</v>
      </c>
      <c r="C10" s="5">
        <v>0.53870755434036255</v>
      </c>
    </row>
    <row r="11" spans="1:3" x14ac:dyDescent="0.3">
      <c r="A11" t="s">
        <v>15</v>
      </c>
      <c r="B11" s="3">
        <v>267681300</v>
      </c>
      <c r="C11" s="5">
        <v>5.5456161499023438E-2</v>
      </c>
    </row>
    <row r="12" spans="1:3" x14ac:dyDescent="0.3">
      <c r="A12" t="s">
        <v>16</v>
      </c>
      <c r="B12" s="3">
        <v>206885200</v>
      </c>
      <c r="C12" s="5">
        <v>1.8446969985961914</v>
      </c>
    </row>
    <row r="13" spans="1:3" x14ac:dyDescent="0.3">
      <c r="A13" t="s">
        <v>17</v>
      </c>
      <c r="B13" s="3">
        <v>782187000</v>
      </c>
      <c r="C13" s="5">
        <v>0.23065699636936188</v>
      </c>
    </row>
    <row r="14" spans="1:3" x14ac:dyDescent="0.3">
      <c r="A14" t="s">
        <v>18</v>
      </c>
      <c r="B14" s="3">
        <v>139402800</v>
      </c>
      <c r="C14" s="4">
        <v>-7.2148971259593964E-2</v>
      </c>
    </row>
    <row r="15" spans="1:3" x14ac:dyDescent="0.3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Dodson, Brayden</cp:lastModifiedBy>
  <dcterms:created xsi:type="dcterms:W3CDTF">2019-05-02T20:23:55Z</dcterms:created>
  <dcterms:modified xsi:type="dcterms:W3CDTF">2022-03-04T20:28:14Z</dcterms:modified>
</cp:coreProperties>
</file>